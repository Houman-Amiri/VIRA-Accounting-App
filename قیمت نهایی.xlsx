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oman-pc\d\3D PRINT\"/>
    </mc:Choice>
  </mc:AlternateContent>
  <xr:revisionPtr revIDLastSave="0" documentId="13_ncr:1_{88F5A020-AA92-4BF6-982E-2EF83C865F47}" xr6:coauthVersionLast="47" xr6:coauthVersionMax="47" xr10:uidLastSave="{00000000-0000-0000-0000-000000000000}"/>
  <bookViews>
    <workbookView xWindow="-108" yWindow="-108" windowWidth="22080" windowHeight="13176" xr2:uid="{CF119120-B31B-4612-9B10-E3857EFBF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B21" i="1" l="1"/>
  <c r="B22" i="1" s="1"/>
  <c r="B24" i="1" s="1"/>
  <c r="B19" i="1" l="1"/>
  <c r="B18" i="1"/>
  <c r="B25" i="1" l="1"/>
  <c r="B28" i="1" s="1"/>
  <c r="B29" i="1" l="1"/>
  <c r="B31" i="1" s="1"/>
  <c r="B33" i="1" s="1"/>
  <c r="B34" i="1" s="1"/>
  <c r="B35" i="1" s="1"/>
  <c r="B32" i="1"/>
  <c r="E25" i="1"/>
  <c r="E28" i="1" l="1"/>
  <c r="E29" i="1" s="1"/>
  <c r="E33" i="1" l="1"/>
  <c r="E34" i="1" s="1"/>
  <c r="E35" i="1" s="1"/>
</calcChain>
</file>

<file path=xl/sharedStrings.xml><?xml version="1.0" encoding="utf-8"?>
<sst xmlns="http://schemas.openxmlformats.org/spreadsheetml/2006/main" count="52" uniqueCount="38">
  <si>
    <t>ضریب سود</t>
  </si>
  <si>
    <t>گرم</t>
  </si>
  <si>
    <t>تومان</t>
  </si>
  <si>
    <t>ساعت</t>
  </si>
  <si>
    <t>درصد</t>
  </si>
  <si>
    <t>کمیسیون دیجی‌کالا</t>
  </si>
  <si>
    <t>قیمت هر گرم فیلامنت</t>
  </si>
  <si>
    <t>توان مصرفی پرینتر</t>
  </si>
  <si>
    <t>کیلو وات</t>
  </si>
  <si>
    <t>اسطحلاک پرینتر در هر ساعت</t>
  </si>
  <si>
    <t>قیمت فیلامنت مصرفی</t>
  </si>
  <si>
    <t>هزینه برق مصرفی</t>
  </si>
  <si>
    <t>وزن محصول</t>
  </si>
  <si>
    <t>زمان پرینت محصول</t>
  </si>
  <si>
    <t>هزینه اسطحلاک پرینت محصول</t>
  </si>
  <si>
    <t>تعداد</t>
  </si>
  <si>
    <t>عدد</t>
  </si>
  <si>
    <t>کمیسیون دیجی‌کالا برای هر عدد محصول</t>
  </si>
  <si>
    <t>ثابتها</t>
  </si>
  <si>
    <t>هزینه ها</t>
  </si>
  <si>
    <t>قیمت تمام شده محصول</t>
  </si>
  <si>
    <t>مشخصات محصول</t>
  </si>
  <si>
    <t>قیمت هر کیلو وات برق</t>
  </si>
  <si>
    <t>نایلون بسته بندی</t>
  </si>
  <si>
    <t>حلقه و زنجیر</t>
  </si>
  <si>
    <t>هزینه ارسال محموله</t>
  </si>
  <si>
    <t>هزینه بسته بندی و ارسال</t>
  </si>
  <si>
    <t>هزینه بسته بندی و ارسال هر عدد</t>
  </si>
  <si>
    <t>زنجیر دار</t>
  </si>
  <si>
    <t>هزینه لیبل</t>
  </si>
  <si>
    <t>قیمت هر عدد با لیبل دیجی کالا</t>
  </si>
  <si>
    <t>قیمت هر عدد با کمیسیون دیجی‌کالا</t>
  </si>
  <si>
    <t>قیمت نهایی (با هزینه لیبلو کمیسیون و ارسال) دیجی کالا</t>
  </si>
  <si>
    <t xml:space="preserve">قیمت فروش کل </t>
  </si>
  <si>
    <t xml:space="preserve">قیمت فروش هر عدد محصول </t>
  </si>
  <si>
    <t>جمع هزینه های تولید</t>
  </si>
  <si>
    <t>قیمت کل با هزینه ارسال دیجی‌کالا</t>
  </si>
  <si>
    <t>جمع هزینه های ارسال یک 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</si>
</sst>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00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7" fillId="0" borderId="0" xfId="0" applyFont="1"/>
    <xf numFmtId="3" fontId="2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3" fontId="9" fillId="0" borderId="0" xfId="0" applyNumberFormat="1" applyFont="1"/>
    <xf numFmtId="3" fontId="7" fillId="0" borderId="0" xfId="0" applyNumberFormat="1" applyFont="1"/>
    <xf numFmtId="0" fontId="8" fillId="0" borderId="0" xfId="0" applyFont="1"/>
    <xf numFmtId="0" fontId="10" fillId="0" borderId="0" xfId="0" applyFont="1"/>
    <xf numFmtId="0" fontId="0" fillId="2" borderId="0" xfId="0" applyFill="1"/>
    <xf numFmtId="164" fontId="0" fillId="2" borderId="0" xfId="0" applyNumberForma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FED4-327F-4F56-8E4F-208499FC0E1D}">
  <dimension ref="A1:F35"/>
  <sheetViews>
    <sheetView tabSelected="1" topLeftCell="A14" zoomScale="115" zoomScaleNormal="115" workbookViewId="0">
      <selection activeCell="B25" sqref="B25"/>
    </sheetView>
  </sheetViews>
  <sheetFormatPr defaultRowHeight="14.4" x14ac:dyDescent="0.3"/>
  <cols>
    <col min="1" max="1" width="45.5546875" customWidth="1"/>
    <col min="2" max="2" width="17.109375" style="1" customWidth="1"/>
    <col min="3" max="3" width="15.88671875" customWidth="1"/>
    <col min="5" max="5" width="14.6640625" customWidth="1"/>
  </cols>
  <sheetData>
    <row r="1" spans="1:3" ht="23.4" x14ac:dyDescent="0.45">
      <c r="A1" s="18" t="s">
        <v>18</v>
      </c>
      <c r="B1" s="18"/>
      <c r="C1" s="18"/>
    </row>
    <row r="2" spans="1:3" x14ac:dyDescent="0.3">
      <c r="A2" t="s">
        <v>7</v>
      </c>
      <c r="B2" s="1">
        <v>1.3</v>
      </c>
      <c r="C2" t="s">
        <v>8</v>
      </c>
    </row>
    <row r="3" spans="1:3" x14ac:dyDescent="0.3">
      <c r="A3" t="s">
        <v>6</v>
      </c>
      <c r="B3" s="1">
        <v>3000</v>
      </c>
      <c r="C3" t="s">
        <v>2</v>
      </c>
    </row>
    <row r="4" spans="1:3" x14ac:dyDescent="0.3">
      <c r="A4" t="s">
        <v>22</v>
      </c>
      <c r="B4" s="1">
        <v>1400</v>
      </c>
      <c r="C4" t="s">
        <v>2</v>
      </c>
    </row>
    <row r="5" spans="1:3" x14ac:dyDescent="0.3">
      <c r="A5" t="s">
        <v>9</v>
      </c>
      <c r="B5" s="1">
        <v>10000</v>
      </c>
      <c r="C5" t="s">
        <v>2</v>
      </c>
    </row>
    <row r="6" spans="1:3" x14ac:dyDescent="0.3">
      <c r="A6" t="s">
        <v>0</v>
      </c>
      <c r="B6" s="1">
        <v>2.5</v>
      </c>
      <c r="C6" t="s">
        <v>4</v>
      </c>
    </row>
    <row r="7" spans="1:3" x14ac:dyDescent="0.3">
      <c r="A7" t="s">
        <v>5</v>
      </c>
      <c r="B7" s="1">
        <v>13.1</v>
      </c>
      <c r="C7" t="s">
        <v>4</v>
      </c>
    </row>
    <row r="8" spans="1:3" x14ac:dyDescent="0.3">
      <c r="A8" t="s">
        <v>23</v>
      </c>
      <c r="B8" s="1">
        <v>2000</v>
      </c>
      <c r="C8" t="s">
        <v>2</v>
      </c>
    </row>
    <row r="9" spans="1:3" x14ac:dyDescent="0.3">
      <c r="A9" t="s">
        <v>24</v>
      </c>
      <c r="B9" s="1">
        <v>8000</v>
      </c>
      <c r="C9" t="s">
        <v>2</v>
      </c>
    </row>
    <row r="10" spans="1:3" x14ac:dyDescent="0.3">
      <c r="A10" t="s">
        <v>25</v>
      </c>
      <c r="B10" s="1">
        <v>150000</v>
      </c>
      <c r="C10" t="s">
        <v>2</v>
      </c>
    </row>
    <row r="12" spans="1:3" ht="23.4" x14ac:dyDescent="0.45">
      <c r="A12" s="18" t="s">
        <v>21</v>
      </c>
      <c r="B12" s="18"/>
      <c r="C12" s="18"/>
    </row>
    <row r="13" spans="1:3" x14ac:dyDescent="0.3">
      <c r="A13" s="16" t="s">
        <v>12</v>
      </c>
      <c r="B13" s="17">
        <v>240</v>
      </c>
      <c r="C13" s="16" t="s">
        <v>1</v>
      </c>
    </row>
    <row r="14" spans="1:3" x14ac:dyDescent="0.3">
      <c r="A14" s="16" t="s">
        <v>13</v>
      </c>
      <c r="B14" s="17">
        <v>10</v>
      </c>
      <c r="C14" s="16" t="s">
        <v>3</v>
      </c>
    </row>
    <row r="15" spans="1:3" x14ac:dyDescent="0.3">
      <c r="A15" s="16" t="s">
        <v>15</v>
      </c>
      <c r="B15" s="17">
        <v>1</v>
      </c>
      <c r="C15" s="16" t="s">
        <v>16</v>
      </c>
    </row>
    <row r="17" spans="1:6" ht="23.4" x14ac:dyDescent="0.45">
      <c r="A17" s="18" t="s">
        <v>19</v>
      </c>
      <c r="B17" s="18"/>
      <c r="C17" s="18"/>
    </row>
    <row r="18" spans="1:6" x14ac:dyDescent="0.3">
      <c r="A18" t="s">
        <v>10</v>
      </c>
      <c r="B18" s="1">
        <f>B13*B3</f>
        <v>720000</v>
      </c>
      <c r="C18" t="s">
        <v>2</v>
      </c>
    </row>
    <row r="19" spans="1:6" x14ac:dyDescent="0.3">
      <c r="A19" t="s">
        <v>11</v>
      </c>
      <c r="B19" s="1">
        <f>B4*B14</f>
        <v>14000</v>
      </c>
      <c r="C19" t="s">
        <v>2</v>
      </c>
    </row>
    <row r="20" spans="1:6" x14ac:dyDescent="0.3">
      <c r="A20" t="s">
        <v>14</v>
      </c>
      <c r="B20" s="1">
        <f>B5*B14</f>
        <v>100000</v>
      </c>
      <c r="C20" t="s">
        <v>2</v>
      </c>
    </row>
    <row r="21" spans="1:6" x14ac:dyDescent="0.3">
      <c r="A21" t="s">
        <v>26</v>
      </c>
      <c r="B21" s="1">
        <f>B10</f>
        <v>150000</v>
      </c>
    </row>
    <row r="22" spans="1:6" x14ac:dyDescent="0.3">
      <c r="A22" t="s">
        <v>27</v>
      </c>
      <c r="B22" s="1">
        <f>B21/B15</f>
        <v>150000</v>
      </c>
    </row>
    <row r="23" spans="1:6" x14ac:dyDescent="0.3">
      <c r="A23" t="s">
        <v>29</v>
      </c>
      <c r="B23" s="1">
        <v>8000</v>
      </c>
    </row>
    <row r="24" spans="1:6" x14ac:dyDescent="0.3">
      <c r="A24" s="15" t="s">
        <v>37</v>
      </c>
      <c r="B24" s="1">
        <f>B23+B22</f>
        <v>158000</v>
      </c>
    </row>
    <row r="25" spans="1:6" x14ac:dyDescent="0.3">
      <c r="A25" s="7" t="s">
        <v>35</v>
      </c>
      <c r="B25" s="13">
        <f>SUM(B18:B20)</f>
        <v>834000</v>
      </c>
      <c r="C25" s="14"/>
      <c r="D25" s="7" t="s">
        <v>28</v>
      </c>
      <c r="E25" s="13">
        <f>B25+(B15*B9)</f>
        <v>842000</v>
      </c>
      <c r="F25" s="2"/>
    </row>
    <row r="26" spans="1:6" x14ac:dyDescent="0.3">
      <c r="A26" s="2"/>
      <c r="B26" s="3"/>
    </row>
    <row r="27" spans="1:6" ht="23.4" x14ac:dyDescent="0.45">
      <c r="A27" s="18" t="s">
        <v>20</v>
      </c>
      <c r="B27" s="18"/>
      <c r="C27" s="18"/>
    </row>
    <row r="28" spans="1:6" x14ac:dyDescent="0.3">
      <c r="A28" t="s">
        <v>33</v>
      </c>
      <c r="B28" s="1">
        <f>B25*B6</f>
        <v>2085000</v>
      </c>
      <c r="D28" s="2" t="s">
        <v>28</v>
      </c>
      <c r="E28">
        <f>E25*B6</f>
        <v>2105000</v>
      </c>
    </row>
    <row r="29" spans="1:6" x14ac:dyDescent="0.3">
      <c r="A29" s="6" t="s">
        <v>34</v>
      </c>
      <c r="B29" s="9">
        <f>(B28/B15)</f>
        <v>2085000</v>
      </c>
      <c r="D29" s="11" t="s">
        <v>28</v>
      </c>
      <c r="E29" s="12">
        <f>(E28/B15)</f>
        <v>2105000</v>
      </c>
    </row>
    <row r="30" spans="1:6" x14ac:dyDescent="0.3">
      <c r="A30" s="7"/>
      <c r="B30" s="5"/>
    </row>
    <row r="31" spans="1:6" x14ac:dyDescent="0.3">
      <c r="A31" t="s">
        <v>17</v>
      </c>
      <c r="B31" s="1">
        <f>(B29*13.1/100)</f>
        <v>273135</v>
      </c>
      <c r="D31" s="2"/>
    </row>
    <row r="32" spans="1:6" x14ac:dyDescent="0.3">
      <c r="A32" t="s">
        <v>36</v>
      </c>
      <c r="B32" s="1">
        <f>B28+B24</f>
        <v>2243000</v>
      </c>
      <c r="D32" s="2"/>
    </row>
    <row r="33" spans="1:5" x14ac:dyDescent="0.3">
      <c r="A33" s="4" t="s">
        <v>31</v>
      </c>
      <c r="B33" s="8">
        <f>B29+B31</f>
        <v>2358135</v>
      </c>
      <c r="D33" s="4" t="s">
        <v>28</v>
      </c>
      <c r="E33" s="10">
        <f>E29+B31</f>
        <v>2378135</v>
      </c>
    </row>
    <row r="34" spans="1:5" x14ac:dyDescent="0.3">
      <c r="A34" s="4" t="s">
        <v>30</v>
      </c>
      <c r="B34" s="8">
        <f>B33+B23</f>
        <v>2366135</v>
      </c>
      <c r="D34" s="4" t="s">
        <v>28</v>
      </c>
      <c r="E34" s="10">
        <f>E33+B23</f>
        <v>2386135</v>
      </c>
    </row>
    <row r="35" spans="1:5" x14ac:dyDescent="0.3">
      <c r="A35" s="4" t="s">
        <v>32</v>
      </c>
      <c r="B35" s="8">
        <f>B34+B24+(B34*(10/100))</f>
        <v>2760748.5</v>
      </c>
      <c r="D35" s="4" t="s">
        <v>28</v>
      </c>
      <c r="E35" s="10">
        <f>E34+B24+(B34*(10/100))</f>
        <v>2780748.5</v>
      </c>
    </row>
  </sheetData>
  <mergeCells count="4">
    <mergeCell ref="A1:C1"/>
    <mergeCell ref="A12:C12"/>
    <mergeCell ref="A17:C17"/>
    <mergeCell ref="A27:C2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Shahram</dc:creator>
  <cp:lastModifiedBy>Shahram Amiri</cp:lastModifiedBy>
  <dcterms:created xsi:type="dcterms:W3CDTF">2026-10-01T14:50:19Z</dcterms:created>
  <dcterms:modified xsi:type="dcterms:W3CDTF">2026-10-14T09:19:29Z</dcterms:modified>
</cp:coreProperties>
</file>